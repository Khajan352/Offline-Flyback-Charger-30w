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ja\Documents\Khajan Singh Choudhary\Documents\Work\Personal\30W Charger\"/>
    </mc:Choice>
  </mc:AlternateContent>
  <bookViews>
    <workbookView xWindow="0" yWindow="0" windowWidth="28800" windowHeight="12180" tabRatio="500"/>
  </bookViews>
  <sheets>
    <sheet name="Transformer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7" i="1" s="1"/>
  <c r="B18" i="1" l="1"/>
  <c r="B19" i="1"/>
  <c r="B23" i="1" l="1"/>
  <c r="B20" i="1"/>
  <c r="B24" i="1"/>
</calcChain>
</file>

<file path=xl/sharedStrings.xml><?xml version="1.0" encoding="utf-8"?>
<sst xmlns="http://schemas.openxmlformats.org/spreadsheetml/2006/main" count="50" uniqueCount="45">
  <si>
    <t>Flyback transformer calculator</t>
  </si>
  <si>
    <t>Fill the yellow cells. The green cells are your transformer recipe: inductances and turns.</t>
  </si>
  <si>
    <t>INPUTS</t>
  </si>
  <si>
    <t>Input voltage (DC bus)</t>
  </si>
  <si>
    <t>V</t>
  </si>
  <si>
    <t>rectified bus; ~325 for 230 Vac. Use min bus for worst case.</t>
  </si>
  <si>
    <t>Output voltage</t>
  </si>
  <si>
    <t>Output current</t>
  </si>
  <si>
    <t>A</t>
  </si>
  <si>
    <t>Switching frequency</t>
  </si>
  <si>
    <t>Duty cycle (D)</t>
  </si>
  <si>
    <t>enter as %; on-time / period</t>
  </si>
  <si>
    <t>Turns ratio n (Np:Ns)</t>
  </si>
  <si>
    <t>sets the FET / diode voltage stress</t>
  </si>
  <si>
    <t>Core area Ae</t>
  </si>
  <si>
    <t>mm²</t>
  </si>
  <si>
    <t>effective area from your core datasheet</t>
  </si>
  <si>
    <t>Max flux density Bmax</t>
  </si>
  <si>
    <t>T</t>
  </si>
  <si>
    <t>ferrite; stay under ~0.4 T saturation</t>
  </si>
  <si>
    <t>RESULTS</t>
  </si>
  <si>
    <t>Output power</t>
  </si>
  <si>
    <t>W</t>
  </si>
  <si>
    <t>Primary peak current (Ipk)</t>
  </si>
  <si>
    <t>Primary inductance (Lp)</t>
  </si>
  <si>
    <t>µH</t>
  </si>
  <si>
    <t>set this in LTSpice</t>
  </si>
  <si>
    <t>Secondary inductance (Ls)</t>
  </si>
  <si>
    <t>equals Lp / n squared</t>
  </si>
  <si>
    <t>Primary turns (Np)</t>
  </si>
  <si>
    <t>turns</t>
  </si>
  <si>
    <t>round to a whole number</t>
  </si>
  <si>
    <t>Secondary turns (Ns)</t>
  </si>
  <si>
    <t>BUILD DETAILS</t>
  </si>
  <si>
    <t>Air gap length</t>
  </si>
  <si>
    <t>mm</t>
  </si>
  <si>
    <t>gap that lands you on Lp</t>
  </si>
  <si>
    <t>AL value (inductance factor)</t>
  </si>
  <si>
    <t>nH/turn²</t>
  </si>
  <si>
    <t>core + gap target; Lp = AL x Np squared</t>
  </si>
  <si>
    <t>NOTES</t>
  </si>
  <si>
    <t>Lp is the primary inductance to set in your sim. Ls follows from the turns ratio (Ls = Lp / n squared).</t>
  </si>
  <si>
    <t>Np and Ns are exact theory values. Round to whole turns (Ns especially); rounding shifts Lp a little, so confirm on a meter or in LTSpice.</t>
  </si>
  <si>
    <t>Ae and Bmax come from your chosen core. A bigger core area means fewer turns. The air gap and AL value are what you or the core supplier set to hit Lp.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</si>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</sst>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808080"/>
      <name val="Arial"/>
      <charset val="1"/>
    </font>
    <font>
      <i/>
      <sz val="9"/>
      <color rgb="FF808080"/>
      <name val="Arial"/>
      <charset val="1"/>
    </font>
    <font>
      <sz val="10"/>
      <color rgb="FF000000"/>
      <name val="Arial"/>
      <charset val="1"/>
    </font>
    <font>
      <b/>
      <sz val="10"/>
      <color rgb="FF0061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 applyAlignment="1">
      <alignment horizontal="left"/>
    </xf>
    <xf numFmtId="1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64" fontId="9" fillId="5" borderId="1" xfId="0" applyNumberFormat="1" applyFont="1" applyFill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tabSelected="1" zoomScale="90" zoomScaleNormal="90" workbookViewId="0">
      <selection activeCell="B17" sqref="B17"/>
    </sheetView>
  </sheetViews>
  <sheetFormatPr defaultColWidth="8.7109375" defaultRowHeight="15" x14ac:dyDescent="0.25"/>
  <cols>
    <col min="1" max="1" width="42" customWidth="1"/>
    <col min="2" max="2" width="23.5703125" customWidth="1"/>
    <col min="3" max="3" width="8.28515625" style="22" customWidth="1"/>
    <col min="4" max="4" width="25.28515625" style="19" customWidth="1"/>
  </cols>
  <sheetData>
    <row r="1" spans="1:4" ht="18" x14ac:dyDescent="0.25">
      <c r="A1" s="1" t="s">
        <v>0</v>
      </c>
      <c r="B1" s="1"/>
      <c r="C1" s="1"/>
      <c r="D1" s="1"/>
    </row>
    <row r="2" spans="1:4" x14ac:dyDescent="0.25">
      <c r="A2" s="3" t="s">
        <v>1</v>
      </c>
      <c r="B2" s="3"/>
      <c r="C2" s="3"/>
      <c r="D2" s="3"/>
    </row>
    <row r="3" spans="1:4" x14ac:dyDescent="0.25">
      <c r="A3" s="2"/>
      <c r="B3" s="2"/>
      <c r="C3" s="20"/>
      <c r="D3" s="17"/>
    </row>
    <row r="4" spans="1:4" x14ac:dyDescent="0.25">
      <c r="A4" s="4" t="s">
        <v>2</v>
      </c>
      <c r="B4" s="4"/>
      <c r="C4" s="4"/>
      <c r="D4" s="4"/>
    </row>
    <row r="5" spans="1:4" ht="36.75" x14ac:dyDescent="0.25">
      <c r="A5" s="5" t="s">
        <v>3</v>
      </c>
      <c r="B5" s="6">
        <v>230</v>
      </c>
      <c r="C5" s="21" t="s">
        <v>4</v>
      </c>
      <c r="D5" s="16" t="s">
        <v>5</v>
      </c>
    </row>
    <row r="6" spans="1:4" x14ac:dyDescent="0.25">
      <c r="A6" s="5" t="s">
        <v>6</v>
      </c>
      <c r="B6" s="7">
        <v>20</v>
      </c>
      <c r="C6" s="21" t="s">
        <v>4</v>
      </c>
      <c r="D6" s="18"/>
    </row>
    <row r="7" spans="1:4" x14ac:dyDescent="0.25">
      <c r="A7" s="5" t="s">
        <v>7</v>
      </c>
      <c r="B7" s="8">
        <v>1.5</v>
      </c>
      <c r="C7" s="21" t="s">
        <v>8</v>
      </c>
      <c r="D7" s="18"/>
    </row>
    <row r="8" spans="1:4" x14ac:dyDescent="0.25">
      <c r="A8" s="5" t="s">
        <v>9</v>
      </c>
      <c r="B8" s="6">
        <v>60</v>
      </c>
      <c r="C8" s="21" t="s">
        <v>44</v>
      </c>
      <c r="D8" s="18"/>
    </row>
    <row r="9" spans="1:4" x14ac:dyDescent="0.25">
      <c r="A9" s="5" t="s">
        <v>10</v>
      </c>
      <c r="B9" s="9">
        <v>0.1</v>
      </c>
      <c r="C9" s="21"/>
      <c r="D9" s="18" t="s">
        <v>11</v>
      </c>
    </row>
    <row r="10" spans="1:4" ht="24.75" x14ac:dyDescent="0.25">
      <c r="A10" s="5" t="s">
        <v>12</v>
      </c>
      <c r="B10" s="7">
        <v>11.5</v>
      </c>
      <c r="C10" s="21"/>
      <c r="D10" s="18" t="s">
        <v>13</v>
      </c>
    </row>
    <row r="11" spans="1:4" ht="24.75" x14ac:dyDescent="0.25">
      <c r="A11" s="5" t="s">
        <v>14</v>
      </c>
      <c r="B11" s="7">
        <v>31</v>
      </c>
      <c r="C11" s="21" t="s">
        <v>15</v>
      </c>
      <c r="D11" s="18" t="s">
        <v>16</v>
      </c>
    </row>
    <row r="12" spans="1:4" ht="24.75" x14ac:dyDescent="0.25">
      <c r="A12" s="5" t="s">
        <v>17</v>
      </c>
      <c r="B12" s="8">
        <v>0.3</v>
      </c>
      <c r="C12" s="21" t="s">
        <v>18</v>
      </c>
      <c r="D12" s="18" t="s">
        <v>19</v>
      </c>
    </row>
    <row r="13" spans="1:4" x14ac:dyDescent="0.25">
      <c r="A13" s="2"/>
      <c r="B13" s="2"/>
      <c r="C13" s="20"/>
      <c r="D13" s="17"/>
    </row>
    <row r="14" spans="1:4" x14ac:dyDescent="0.25">
      <c r="A14" s="4" t="s">
        <v>20</v>
      </c>
      <c r="B14" s="4"/>
      <c r="C14" s="4"/>
      <c r="D14" s="4"/>
    </row>
    <row r="15" spans="1:4" x14ac:dyDescent="0.25">
      <c r="A15" s="5" t="s">
        <v>21</v>
      </c>
      <c r="B15" s="10">
        <f>B6*B7</f>
        <v>30</v>
      </c>
      <c r="C15" s="21" t="s">
        <v>22</v>
      </c>
      <c r="D15" s="18"/>
    </row>
    <row r="16" spans="1:4" x14ac:dyDescent="0.25">
      <c r="A16" s="5" t="s">
        <v>23</v>
      </c>
      <c r="B16" s="11">
        <v>2</v>
      </c>
      <c r="C16" s="21" t="s">
        <v>8</v>
      </c>
      <c r="D16" s="18"/>
    </row>
    <row r="17" spans="1:4" x14ac:dyDescent="0.25">
      <c r="A17" s="12" t="s">
        <v>24</v>
      </c>
      <c r="B17" s="13">
        <f>(B5*B9)^2/(2*B15*B8*1000)*1000000</f>
        <v>146.94444444444446</v>
      </c>
      <c r="C17" s="21" t="s">
        <v>25</v>
      </c>
      <c r="D17" s="18" t="s">
        <v>26</v>
      </c>
    </row>
    <row r="18" spans="1:4" x14ac:dyDescent="0.25">
      <c r="A18" s="12" t="s">
        <v>27</v>
      </c>
      <c r="B18" s="14">
        <f>B17/B10^2</f>
        <v>1.1111111111111112</v>
      </c>
      <c r="C18" s="21" t="s">
        <v>25</v>
      </c>
      <c r="D18" s="18" t="s">
        <v>28</v>
      </c>
    </row>
    <row r="19" spans="1:4" x14ac:dyDescent="0.25">
      <c r="A19" s="12" t="s">
        <v>29</v>
      </c>
      <c r="B19" s="13">
        <f>(B17/1000000)*B16/(B12*B11/1000000)</f>
        <v>31.600955794504184</v>
      </c>
      <c r="C19" s="21" t="s">
        <v>30</v>
      </c>
      <c r="D19" s="18" t="s">
        <v>31</v>
      </c>
    </row>
    <row r="20" spans="1:4" x14ac:dyDescent="0.25">
      <c r="A20" s="12" t="s">
        <v>32</v>
      </c>
      <c r="B20" s="13">
        <f>B19/B10</f>
        <v>2.7479091995221028</v>
      </c>
      <c r="C20" s="21" t="s">
        <v>30</v>
      </c>
      <c r="D20" s="18" t="s">
        <v>31</v>
      </c>
    </row>
    <row r="21" spans="1:4" x14ac:dyDescent="0.25">
      <c r="A21" s="2"/>
      <c r="B21" s="2"/>
      <c r="C21" s="20"/>
      <c r="D21" s="17"/>
    </row>
    <row r="22" spans="1:4" x14ac:dyDescent="0.25">
      <c r="A22" s="4" t="s">
        <v>33</v>
      </c>
      <c r="B22" s="4"/>
      <c r="C22" s="4"/>
      <c r="D22" s="4"/>
    </row>
    <row r="23" spans="1:4" x14ac:dyDescent="0.25">
      <c r="A23" s="5" t="s">
        <v>34</v>
      </c>
      <c r="B23" s="11">
        <f>(4*PI()*0.0000001)*B19^2*(B11/1000000)/(B17/1000000)*1000</f>
        <v>0.26473954818781376</v>
      </c>
      <c r="C23" s="21" t="s">
        <v>35</v>
      </c>
      <c r="D23" s="18" t="s">
        <v>36</v>
      </c>
    </row>
    <row r="24" spans="1:4" ht="24.75" x14ac:dyDescent="0.25">
      <c r="A24" s="5" t="s">
        <v>37</v>
      </c>
      <c r="B24" s="10">
        <f>(B17/1000000)/B19^2*1000000000</f>
        <v>147.14744801512285</v>
      </c>
      <c r="C24" s="21" t="s">
        <v>38</v>
      </c>
      <c r="D24" s="18" t="s">
        <v>39</v>
      </c>
    </row>
    <row r="25" spans="1:4" x14ac:dyDescent="0.25">
      <c r="A25" s="2"/>
      <c r="B25" s="2"/>
      <c r="C25" s="20"/>
      <c r="D25" s="17"/>
    </row>
    <row r="26" spans="1:4" x14ac:dyDescent="0.25">
      <c r="A26" s="4" t="s">
        <v>40</v>
      </c>
      <c r="B26" s="4"/>
      <c r="C26" s="4"/>
      <c r="D26" s="4"/>
    </row>
    <row r="27" spans="1:4" x14ac:dyDescent="0.25">
      <c r="A27" s="15" t="s">
        <v>41</v>
      </c>
      <c r="B27" s="15"/>
      <c r="C27" s="15"/>
      <c r="D27" s="15"/>
    </row>
    <row r="28" spans="1:4" x14ac:dyDescent="0.25">
      <c r="A28" s="15" t="s">
        <v>42</v>
      </c>
      <c r="B28" s="15"/>
      <c r="C28" s="15"/>
      <c r="D28" s="15"/>
    </row>
    <row r="29" spans="1:4" x14ac:dyDescent="0.25">
      <c r="A29" s="15" t="s">
        <v>43</v>
      </c>
      <c r="B29" s="15"/>
      <c r="C29" s="15"/>
      <c r="D29" s="15"/>
    </row>
  </sheetData>
  <mergeCells count="9">
    <mergeCell ref="A26:D26"/>
    <mergeCell ref="A27:D27"/>
    <mergeCell ref="A28:D28"/>
    <mergeCell ref="A29:D29"/>
    <mergeCell ref="A1:D1"/>
    <mergeCell ref="A2:D2"/>
    <mergeCell ref="A4:D4"/>
    <mergeCell ref="A14:D14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Arles Ulfred</cp:lastModifiedBy>
  <cp:revision>0</cp:revision>
  <dcterms:created xsi:type="dcterms:W3CDTF">2026-06-04T21:57:34Z</dcterms:created>
  <dcterms:modified xsi:type="dcterms:W3CDTF">2026-06-06T02:24:38Z</dcterms:modified>
  <dc:language>en-US</dc:language>
</cp:coreProperties>
</file>